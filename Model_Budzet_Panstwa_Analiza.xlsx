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dsumowanie_Budzetu" sheetId="1" state="visible" r:id="rId1"/>
    <sheet xmlns:r="http://schemas.openxmlformats.org/officeDocument/2006/relationships" name="Dane_Szczegolowe" sheetId="2" state="visible" r:id="rId2"/>
    <sheet xmlns:r="http://schemas.openxmlformats.org/officeDocument/2006/relationships" name="Slownik_i_Metodologi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0.0%"/>
    <numFmt numFmtId="166" formatCode="+#,##0.0;-#,##0.0;0.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F497D"/>
      <sz val="16"/>
    </font>
    <font>
      <name val="Calibri"/>
      <i val="1"/>
      <color rgb="00595959"/>
      <sz val="10"/>
    </font>
    <font>
      <name val="Calibri"/>
      <b val="1"/>
      <color rgb="001F497D"/>
      <sz val="12"/>
    </font>
    <font>
      <name val="Calibri"/>
      <b val="1"/>
      <color rgb="001F497D"/>
      <sz val="11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164" fontId="2" fillId="0" borderId="1" pivotButton="0" quotePrefix="0" xfId="0"/>
    <xf numFmtId="166" fontId="2" fillId="0" borderId="1" pivotButton="0" quotePrefix="0" xfId="0"/>
    <xf numFmtId="165" fontId="2" fillId="0" borderId="1" pivotButton="0" quotePrefix="0" xfId="0"/>
    <xf numFmtId="0" fontId="2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164" fontId="2" fillId="3" borderId="1" applyAlignment="1" pivotButton="0" quotePrefix="0" xfId="0">
      <alignment horizontal="right"/>
    </xf>
    <xf numFmtId="165" fontId="2" fillId="3" borderId="1" applyAlignment="1" pivotButton="0" quotePrefix="0" xfId="0">
      <alignment horizontal="right"/>
    </xf>
    <xf numFmtId="166" fontId="2" fillId="3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right"/>
    </xf>
    <xf numFmtId="165" fontId="2" fillId="0" borderId="1" applyAlignment="1" pivotButton="0" quotePrefix="0" xfId="0">
      <alignment horizontal="right"/>
    </xf>
    <xf numFmtId="166" fontId="2" fillId="0" borderId="1" applyAlignment="1" pivotButton="0" quotePrefix="0" xfId="0">
      <alignment horizontal="right"/>
    </xf>
    <xf numFmtId="0" fontId="6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66" customWidth="1" min="2" max="2"/>
    <col width="94" customWidth="1" min="3" max="3"/>
    <col width="94" customWidth="1" min="4" max="4"/>
    <col width="94" customWidth="1" min="5" max="5"/>
    <col width="94" customWidth="1" min="6" max="6"/>
    <col width="32" customWidth="1" min="7" max="7"/>
    <col width="37" customWidth="1" min="8" max="8"/>
    <col width="31" customWidth="1" min="9" max="9"/>
    <col width="31" customWidth="1" min="10" max="10"/>
  </cols>
  <sheetData>
    <row r="1"/>
    <row r="2">
      <c r="B2" s="1" t="inlineStr">
        <is>
          <t>MODELOWY ZESTAW DANYCH ANITYCZNYCH: BUDŻET PAŃSTWA</t>
        </is>
      </c>
    </row>
    <row r="3">
      <c r="B3" s="2" t="inlineStr">
        <is>
          <t>Model danych do zasilenia aplikacji Streamlit / Power BI / Dash na podstawie sprawozdawczości Ministerstwa Finansów</t>
        </is>
      </c>
    </row>
    <row r="4"/>
    <row r="5">
      <c r="B5" s="3" t="inlineStr">
        <is>
          <t>1. Ogólne Podsumowanie Wykonania Budżetu Państwa (2022 - 2025)</t>
        </is>
      </c>
    </row>
    <row r="6" ht="28" customHeight="1">
      <c r="B6" s="4" t="inlineStr">
        <is>
          <t>Rok</t>
        </is>
      </c>
      <c r="C6" s="4" t="inlineStr">
        <is>
          <t>Łączne Dochody Plan (mld PLN)</t>
        </is>
      </c>
      <c r="D6" s="4" t="inlineStr">
        <is>
          <t>Łączne Dochody Wykonanie (mld PLN)</t>
        </is>
      </c>
      <c r="E6" s="4" t="inlineStr">
        <is>
          <t>Łączne Wydatki Plan (mld PLN)</t>
        </is>
      </c>
      <c r="F6" s="4" t="inlineStr">
        <is>
          <t>Łączne Wydatki Wykonanie (mld PLN)</t>
        </is>
      </c>
      <c r="G6" s="4" t="inlineStr">
        <is>
          <t>Wynik Budżetu Plan (mld PLN)</t>
        </is>
      </c>
      <c r="H6" s="4" t="inlineStr">
        <is>
          <t>Wynik Budżetu Wykonanie (mld PLN)</t>
        </is>
      </c>
      <c r="I6" s="4" t="inlineStr">
        <is>
          <t>Wskaźnik Wykonania Dochodów</t>
        </is>
      </c>
      <c r="J6" s="4" t="inlineStr">
        <is>
          <t>Wskaźnik Wykonania Wydatków</t>
        </is>
      </c>
    </row>
    <row r="7">
      <c r="B7" s="5" t="n">
        <v>2022</v>
      </c>
      <c r="C7" s="6">
        <f>SUMIFS(Dane_Szczegolowe!G:G, Dane_Szczegolowe!A:A, 2022, Dane_Szczegolowe!B:B, "Dochody")</f>
        <v/>
      </c>
      <c r="D7" s="6">
        <f>SUMIFS(Dane_Szczegolowe!H:H, Dane_Szczegolowe!A:A, 2022, Dane_Szczegolowe!B:B, "Dochody")</f>
        <v/>
      </c>
      <c r="E7" s="6">
        <f>SUMIFS(Dane_Szczegolowe!G:G, Dane_Szczegolowe!A:A, 2022, Dane_Szczegolowe!B:B, "Wydatki")</f>
        <v/>
      </c>
      <c r="F7" s="6">
        <f>SUMIFS(Dane_Szczegolowe!H:H, Dane_Szczegolowe!A:A, 2022, Dane_Szczegolowe!B:B, "Wydatki")</f>
        <v/>
      </c>
      <c r="G7" s="7">
        <f>C7-E7</f>
        <v/>
      </c>
      <c r="H7" s="7">
        <f>D7-F7</f>
        <v/>
      </c>
      <c r="I7" s="8">
        <f>D7/C7</f>
        <v/>
      </c>
      <c r="J7" s="8">
        <f>F7/E7</f>
        <v/>
      </c>
    </row>
    <row r="8">
      <c r="B8" s="5" t="n">
        <v>2023</v>
      </c>
      <c r="C8" s="6">
        <f>SUMIFS(Dane_Szczegolowe!G:G, Dane_Szczegolowe!A:A, 2023, Dane_Szczegolowe!B:B, "Dochody")</f>
        <v/>
      </c>
      <c r="D8" s="6">
        <f>SUMIFS(Dane_Szczegolowe!H:H, Dane_Szczegolowe!A:A, 2023, Dane_Szczegolowe!B:B, "Dochody")</f>
        <v/>
      </c>
      <c r="E8" s="6">
        <f>SUMIFS(Dane_Szczegolowe!G:G, Dane_Szczegolowe!A:A, 2023, Dane_Szczegolowe!B:B, "Wydatki")</f>
        <v/>
      </c>
      <c r="F8" s="6">
        <f>SUMIFS(Dane_Szczegolowe!H:H, Dane_Szczegolowe!A:A, 2023, Dane_Szczegolowe!B:B, "Wydatki")</f>
        <v/>
      </c>
      <c r="G8" s="7">
        <f>C8-E8</f>
        <v/>
      </c>
      <c r="H8" s="7">
        <f>D8-F8</f>
        <v/>
      </c>
      <c r="I8" s="8">
        <f>D8/C8</f>
        <v/>
      </c>
      <c r="J8" s="8">
        <f>F8/E8</f>
        <v/>
      </c>
    </row>
    <row r="9">
      <c r="B9" s="5" t="n">
        <v>2024</v>
      </c>
      <c r="C9" s="6">
        <f>SUMIFS(Dane_Szczegolowe!G:G, Dane_Szczegolowe!A:A, 2024, Dane_Szczegolowe!B:B, "Dochody")</f>
        <v/>
      </c>
      <c r="D9" s="6">
        <f>SUMIFS(Dane_Szczegolowe!H:H, Dane_Szczegolowe!A:A, 2024, Dane_Szczegolowe!B:B, "Dochody")</f>
        <v/>
      </c>
      <c r="E9" s="6">
        <f>SUMIFS(Dane_Szczegolowe!G:G, Dane_Szczegolowe!A:A, 2024, Dane_Szczegolowe!B:B, "Wydatki")</f>
        <v/>
      </c>
      <c r="F9" s="6">
        <f>SUMIFS(Dane_Szczegolowe!H:H, Dane_Szczegolowe!A:A, 2024, Dane_Szczegolowe!B:B, "Wydatki")</f>
        <v/>
      </c>
      <c r="G9" s="7">
        <f>C9-E9</f>
        <v/>
      </c>
      <c r="H9" s="7">
        <f>D9-F9</f>
        <v/>
      </c>
      <c r="I9" s="8">
        <f>D9/C9</f>
        <v/>
      </c>
      <c r="J9" s="8">
        <f>F9/E9</f>
        <v/>
      </c>
    </row>
    <row r="10">
      <c r="B10" s="5" t="n">
        <v>2025</v>
      </c>
      <c r="C10" s="6">
        <f>SUMIFS(Dane_Szczegolowe!G:G, Dane_Szczegolowe!A:A, 2025, Dane_Szczegolowe!B:B, "Dochody")</f>
        <v/>
      </c>
      <c r="D10" s="6">
        <f>SUMIFS(Dane_Szczegolowe!H:H, Dane_Szczegolowe!A:A, 2025, Dane_Szczegolowe!B:B, "Dochody")</f>
        <v/>
      </c>
      <c r="E10" s="6">
        <f>SUMIFS(Dane_Szczegolowe!G:G, Dane_Szczegolowe!A:A, 2025, Dane_Szczegolowe!B:B, "Wydatki")</f>
        <v/>
      </c>
      <c r="F10" s="6">
        <f>SUMIFS(Dane_Szczegolowe!H:H, Dane_Szczegolowe!A:A, 2025, Dane_Szczegolowe!B:B, "Wydatki")</f>
        <v/>
      </c>
      <c r="G10" s="7">
        <f>C10-E10</f>
        <v/>
      </c>
      <c r="H10" s="7">
        <f>D10-F10</f>
        <v/>
      </c>
      <c r="I10" s="8">
        <f>D10/C10</f>
        <v/>
      </c>
      <c r="J10" s="8">
        <f>F10/E10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34" customWidth="1" min="3" max="3"/>
    <col width="14" customWidth="1" min="4" max="4"/>
    <col width="58" customWidth="1" min="5" max="5"/>
    <col width="29" customWidth="1" min="6" max="6"/>
    <col width="16" customWidth="1" min="7" max="7"/>
    <col width="21" customWidth="1" min="8" max="8"/>
    <col width="21" customWidth="1" min="9" max="9"/>
    <col width="22" customWidth="1" min="10" max="10"/>
    <col width="34" customWidth="1" min="11" max="11"/>
  </cols>
  <sheetData>
    <row r="1">
      <c r="A1" s="4" t="inlineStr">
        <is>
          <t>Rok</t>
        </is>
      </c>
      <c r="B1" s="4" t="inlineStr">
        <is>
          <t>Typ_Pozycji</t>
        </is>
      </c>
      <c r="C1" s="4" t="inlineStr">
        <is>
          <t>Kategoria_Główna</t>
        </is>
      </c>
      <c r="D1" s="4" t="inlineStr">
        <is>
          <t>Kod_Działu</t>
        </is>
      </c>
      <c r="E1" s="4" t="inlineStr">
        <is>
          <t>Nazwa_Kategorii_Szczegółowa</t>
        </is>
      </c>
      <c r="F1" s="4" t="inlineStr">
        <is>
          <t>Część_Budżetowa</t>
        </is>
      </c>
      <c r="G1" s="4" t="inlineStr">
        <is>
          <t>Plan_mld_PLN</t>
        </is>
      </c>
      <c r="H1" s="4" t="inlineStr">
        <is>
          <t>Wykonanie_mld_PLN</t>
        </is>
      </c>
      <c r="I1" s="4" t="inlineStr">
        <is>
          <t>Procent_Wykonania</t>
        </is>
      </c>
      <c r="J1" s="4" t="inlineStr">
        <is>
          <t>Odchylenie_mld_PLN</t>
        </is>
      </c>
      <c r="K1" s="4" t="inlineStr">
        <is>
          <t>Źródło_Sprawozdawcze</t>
        </is>
      </c>
    </row>
    <row r="2">
      <c r="A2" s="9" t="n">
        <v>2022</v>
      </c>
      <c r="B2" s="9" t="inlineStr">
        <is>
          <t>Dochody</t>
        </is>
      </c>
      <c r="C2" s="10" t="inlineStr">
        <is>
          <t>Podatki pośrednie (VAT/Akcyza)</t>
        </is>
      </c>
      <c r="D2" s="9" t="inlineStr">
        <is>
          <t>Podatki</t>
        </is>
      </c>
      <c r="E2" s="10" t="inlineStr">
        <is>
          <t>Podatek od towarów i usług (VAT)</t>
        </is>
      </c>
      <c r="F2" s="10" t="inlineStr">
        <is>
          <t>01 - Dochody podatkowe</t>
        </is>
      </c>
      <c r="G2" s="11" t="n">
        <v>233.1</v>
      </c>
      <c r="H2" s="11" t="n">
        <v>230.8</v>
      </c>
      <c r="I2" s="12">
        <f>H2/G2</f>
        <v/>
      </c>
      <c r="J2" s="13">
        <f>H2-G2</f>
        <v/>
      </c>
      <c r="K2" s="10" t="inlineStr">
        <is>
          <t>Rb-27 / Sprawozdanie MF</t>
        </is>
      </c>
    </row>
    <row r="3">
      <c r="A3" s="5" t="n">
        <v>2022</v>
      </c>
      <c r="B3" s="5" t="inlineStr">
        <is>
          <t>Dochody</t>
        </is>
      </c>
      <c r="C3" s="14" t="inlineStr">
        <is>
          <t>Podatki pośrednie (VAT/Akcyza)</t>
        </is>
      </c>
      <c r="D3" s="5" t="inlineStr">
        <is>
          <t>Podatki</t>
        </is>
      </c>
      <c r="E3" s="14" t="inlineStr">
        <is>
          <t>Podatek akcyzowy</t>
        </is>
      </c>
      <c r="F3" s="14" t="inlineStr">
        <is>
          <t>01 - Dochody podatkowe</t>
        </is>
      </c>
      <c r="G3" s="15" t="n">
        <v>79.2</v>
      </c>
      <c r="H3" s="15" t="n">
        <v>80.09999999999999</v>
      </c>
      <c r="I3" s="16">
        <f>H3/G3</f>
        <v/>
      </c>
      <c r="J3" s="17">
        <f>H3-G3</f>
        <v/>
      </c>
      <c r="K3" s="14" t="inlineStr">
        <is>
          <t>Rb-27 / Sprawozdanie MF</t>
        </is>
      </c>
    </row>
    <row r="4">
      <c r="A4" s="9" t="n">
        <v>2022</v>
      </c>
      <c r="B4" s="9" t="inlineStr">
        <is>
          <t>Dochody</t>
        </is>
      </c>
      <c r="C4" s="10" t="inlineStr">
        <is>
          <t>Podatki dochodowe (PIT/CIT)</t>
        </is>
      </c>
      <c r="D4" s="9" t="inlineStr">
        <is>
          <t>Podatki</t>
        </is>
      </c>
      <c r="E4" s="10" t="inlineStr">
        <is>
          <t>Podatek dochodowy od osób prawnych (CIT)</t>
        </is>
      </c>
      <c r="F4" s="10" t="inlineStr">
        <is>
          <t>01 - Dochody podatkowe</t>
        </is>
      </c>
      <c r="G4" s="11" t="n">
        <v>53.8</v>
      </c>
      <c r="H4" s="11" t="n">
        <v>70.09999999999999</v>
      </c>
      <c r="I4" s="12">
        <f>H4/G4</f>
        <v/>
      </c>
      <c r="J4" s="13">
        <f>H4-G4</f>
        <v/>
      </c>
      <c r="K4" s="10" t="inlineStr">
        <is>
          <t>Rb-27 / Sprawozdanie MF</t>
        </is>
      </c>
    </row>
    <row r="5">
      <c r="A5" s="5" t="n">
        <v>2022</v>
      </c>
      <c r="B5" s="5" t="inlineStr">
        <is>
          <t>Dochody</t>
        </is>
      </c>
      <c r="C5" s="14" t="inlineStr">
        <is>
          <t>Podatki dochodowe (PIT/CIT)</t>
        </is>
      </c>
      <c r="D5" s="5" t="inlineStr">
        <is>
          <t>Podatki</t>
        </is>
      </c>
      <c r="E5" s="14" t="inlineStr">
        <is>
          <t>Podatek dochodowy od osób fizycznych (PIT)</t>
        </is>
      </c>
      <c r="F5" s="14" t="inlineStr">
        <is>
          <t>01 - Dochody podatkowe</t>
        </is>
      </c>
      <c r="G5" s="15" t="n">
        <v>68.3</v>
      </c>
      <c r="H5" s="15" t="n">
        <v>68.09999999999999</v>
      </c>
      <c r="I5" s="16">
        <f>H5/G5</f>
        <v/>
      </c>
      <c r="J5" s="17">
        <f>H5-G5</f>
        <v/>
      </c>
      <c r="K5" s="14" t="inlineStr">
        <is>
          <t>Rb-27 / Sprawozdanie MF</t>
        </is>
      </c>
    </row>
    <row r="6">
      <c r="A6" s="9" t="n">
        <v>2022</v>
      </c>
      <c r="B6" s="9" t="inlineStr">
        <is>
          <t>Dochody</t>
        </is>
      </c>
      <c r="C6" s="10" t="inlineStr">
        <is>
          <t>Dochody niepodatkowe i Cła</t>
        </is>
      </c>
      <c r="D6" s="9" t="inlineStr">
        <is>
          <t>Cła/Inne</t>
        </is>
      </c>
      <c r="E6" s="10" t="inlineStr">
        <is>
          <t>Cła oraz dochody niepodatkowe i UE</t>
        </is>
      </c>
      <c r="F6" s="10" t="inlineStr">
        <is>
          <t>02 - Inne dochody</t>
        </is>
      </c>
      <c r="G6" s="11" t="n">
        <v>57.6</v>
      </c>
      <c r="H6" s="11" t="n">
        <v>55.7</v>
      </c>
      <c r="I6" s="12">
        <f>H6/G6</f>
        <v/>
      </c>
      <c r="J6" s="13">
        <f>H6-G6</f>
        <v/>
      </c>
      <c r="K6" s="10" t="inlineStr">
        <is>
          <t>Rb-27 / Sprawozdanie MF</t>
        </is>
      </c>
    </row>
    <row r="7">
      <c r="A7" s="5" t="n">
        <v>2022</v>
      </c>
      <c r="B7" s="5" t="inlineStr">
        <is>
          <t>Wydatki</t>
        </is>
      </c>
      <c r="C7" s="14" t="inlineStr">
        <is>
          <t>Obrona i Bezpieczeństwo</t>
        </is>
      </c>
      <c r="D7" s="5" t="inlineStr">
        <is>
          <t>752</t>
        </is>
      </c>
      <c r="E7" s="14" t="inlineStr">
        <is>
          <t>Obrona narodowa</t>
        </is>
      </c>
      <c r="F7" s="14" t="inlineStr">
        <is>
          <t>29 - Obrona narodowa</t>
        </is>
      </c>
      <c r="G7" s="15" t="n">
        <v>57.1</v>
      </c>
      <c r="H7" s="15" t="n">
        <v>57.5</v>
      </c>
      <c r="I7" s="16">
        <f>H7/G7</f>
        <v/>
      </c>
      <c r="J7" s="17">
        <f>H7-G7</f>
        <v/>
      </c>
      <c r="K7" s="14" t="inlineStr">
        <is>
          <t>Rb-28 / Sprawozdanie MF</t>
        </is>
      </c>
    </row>
    <row r="8">
      <c r="A8" s="9" t="n">
        <v>2022</v>
      </c>
      <c r="B8" s="9" t="inlineStr">
        <is>
          <t>Wydatki</t>
        </is>
      </c>
      <c r="C8" s="10" t="inlineStr">
        <is>
          <t>Obrona i Bezpieczeństwo</t>
        </is>
      </c>
      <c r="D8" s="9" t="inlineStr">
        <is>
          <t>750</t>
        </is>
      </c>
      <c r="E8" s="10" t="inlineStr">
        <is>
          <t>Administracja i Bezpieczeństwo Publiczne</t>
        </is>
      </c>
      <c r="F8" s="10" t="inlineStr">
        <is>
          <t>42 - Sprawy wewnętrzne</t>
        </is>
      </c>
      <c r="G8" s="11" t="n">
        <v>38.2</v>
      </c>
      <c r="H8" s="11" t="n">
        <v>37.9</v>
      </c>
      <c r="I8" s="12">
        <f>H8/G8</f>
        <v/>
      </c>
      <c r="J8" s="13">
        <f>H8-G8</f>
        <v/>
      </c>
      <c r="K8" s="10" t="inlineStr">
        <is>
          <t>Rb-28 / Sprawozdanie MF</t>
        </is>
      </c>
    </row>
    <row r="9">
      <c r="A9" s="5" t="n">
        <v>2022</v>
      </c>
      <c r="B9" s="5" t="inlineStr">
        <is>
          <t>Wydatki</t>
        </is>
      </c>
      <c r="C9" s="14" t="inlineStr">
        <is>
          <t>Polityka Społeczna i Rodzina</t>
        </is>
      </c>
      <c r="D9" s="5" t="inlineStr">
        <is>
          <t>855</t>
        </is>
      </c>
      <c r="E9" s="14" t="inlineStr">
        <is>
          <t>Rodzina (np. 500+, świadczenia)</t>
        </is>
      </c>
      <c r="F9" s="14" t="inlineStr">
        <is>
          <t>85 - Rodzina</t>
        </is>
      </c>
      <c r="G9" s="15" t="n">
        <v>62.4</v>
      </c>
      <c r="H9" s="15" t="n">
        <v>62.2</v>
      </c>
      <c r="I9" s="16">
        <f>H9/G9</f>
        <v/>
      </c>
      <c r="J9" s="17">
        <f>H9-G9</f>
        <v/>
      </c>
      <c r="K9" s="14" t="inlineStr">
        <is>
          <t>Rb-28 / Sprawozdanie MF</t>
        </is>
      </c>
    </row>
    <row r="10">
      <c r="A10" s="9" t="n">
        <v>2022</v>
      </c>
      <c r="B10" s="9" t="inlineStr">
        <is>
          <t>Wydatki</t>
        </is>
      </c>
      <c r="C10" s="10" t="inlineStr">
        <is>
          <t>Polityka Społeczna i Rodzina</t>
        </is>
      </c>
      <c r="D10" s="9" t="inlineStr">
        <is>
          <t>851</t>
        </is>
      </c>
      <c r="E10" s="10" t="inlineStr">
        <is>
          <t>Ochrona zdrowia (dotacja FUS/NFZ)</t>
        </is>
      </c>
      <c r="F10" s="10" t="inlineStr">
        <is>
          <t>46 - Zdrowie</t>
        </is>
      </c>
      <c r="G10" s="11" t="n">
        <v>31.5</v>
      </c>
      <c r="H10" s="11" t="n">
        <v>31.2</v>
      </c>
      <c r="I10" s="12">
        <f>H10/G10</f>
        <v/>
      </c>
      <c r="J10" s="13">
        <f>H10-G10</f>
        <v/>
      </c>
      <c r="K10" s="10" t="inlineStr">
        <is>
          <t>Rb-28 / Sprawozdanie MF</t>
        </is>
      </c>
    </row>
    <row r="11">
      <c r="A11" s="5" t="n">
        <v>2022</v>
      </c>
      <c r="B11" s="5" t="inlineStr">
        <is>
          <t>Wydatki</t>
        </is>
      </c>
      <c r="C11" s="14" t="inlineStr">
        <is>
          <t>Edukacja i Nauka</t>
        </is>
      </c>
      <c r="D11" s="5" t="inlineStr">
        <is>
          <t>801</t>
        </is>
      </c>
      <c r="E11" s="14" t="inlineStr">
        <is>
          <t>Oświata i wychowanie oraz szkolnictwo wyższe</t>
        </is>
      </c>
      <c r="F11" s="14" t="inlineStr">
        <is>
          <t>44 - Oświata / 28 - Nauka</t>
        </is>
      </c>
      <c r="G11" s="15" t="n">
        <v>34.2</v>
      </c>
      <c r="H11" s="15" t="n">
        <v>34</v>
      </c>
      <c r="I11" s="16">
        <f>H11/G11</f>
        <v/>
      </c>
      <c r="J11" s="17">
        <f>H11-G11</f>
        <v/>
      </c>
      <c r="K11" s="14" t="inlineStr">
        <is>
          <t>Rb-28 / Sprawozdanie MF</t>
        </is>
      </c>
    </row>
    <row r="12">
      <c r="A12" s="9" t="n">
        <v>2022</v>
      </c>
      <c r="B12" s="9" t="inlineStr">
        <is>
          <t>Wydatki</t>
        </is>
      </c>
      <c r="C12" s="10" t="inlineStr">
        <is>
          <t>Obsługa Długu Publicznego</t>
        </is>
      </c>
      <c r="D12" s="9" t="inlineStr">
        <is>
          <t>757</t>
        </is>
      </c>
      <c r="E12" s="10" t="inlineStr">
        <is>
          <t>Obsługa długu publicznego</t>
        </is>
      </c>
      <c r="F12" s="10" t="inlineStr">
        <is>
          <t>79 - Obsługa długu</t>
        </is>
      </c>
      <c r="G12" s="11" t="n">
        <v>26</v>
      </c>
      <c r="H12" s="11" t="n">
        <v>32.7</v>
      </c>
      <c r="I12" s="12">
        <f>H12/G12</f>
        <v/>
      </c>
      <c r="J12" s="13">
        <f>H12-G12</f>
        <v/>
      </c>
      <c r="K12" s="10" t="inlineStr">
        <is>
          <t>Rb-28 / Sprawozdanie MF</t>
        </is>
      </c>
    </row>
    <row r="13">
      <c r="A13" s="5" t="n">
        <v>2022</v>
      </c>
      <c r="B13" s="5" t="inlineStr">
        <is>
          <t>Wydatki</t>
        </is>
      </c>
      <c r="C13" s="14" t="inlineStr">
        <is>
          <t>Subwencje dla Samorządów</t>
        </is>
      </c>
      <c r="D13" s="5" t="inlineStr">
        <is>
          <t>758</t>
        </is>
      </c>
      <c r="E13" s="14" t="inlineStr">
        <is>
          <t>Różne rozliczenia (ogólna subwencja JST)</t>
        </is>
      </c>
      <c r="F13" s="14" t="inlineStr">
        <is>
          <t>82 - Subwencje JST</t>
        </is>
      </c>
      <c r="G13" s="15" t="n">
        <v>76.5</v>
      </c>
      <c r="H13" s="15" t="n">
        <v>76.5</v>
      </c>
      <c r="I13" s="16">
        <f>H13/G13</f>
        <v/>
      </c>
      <c r="J13" s="17">
        <f>H13-G13</f>
        <v/>
      </c>
      <c r="K13" s="14" t="inlineStr">
        <is>
          <t>Rb-28 / Sprawozdanie MF</t>
        </is>
      </c>
    </row>
    <row r="14">
      <c r="A14" s="9" t="n">
        <v>2022</v>
      </c>
      <c r="B14" s="9" t="inlineStr">
        <is>
          <t>Wydatki</t>
        </is>
      </c>
      <c r="C14" s="10" t="inlineStr">
        <is>
          <t>Infrastruktura i Gospodarka</t>
        </is>
      </c>
      <c r="D14" s="9" t="inlineStr">
        <is>
          <t>600</t>
        </is>
      </c>
      <c r="E14" s="10" t="inlineStr">
        <is>
          <t>Transport i łączność / Gospodarka</t>
        </is>
      </c>
      <c r="F14" s="10" t="inlineStr">
        <is>
          <t>39 - Transport</t>
        </is>
      </c>
      <c r="G14" s="11" t="n">
        <v>23.8</v>
      </c>
      <c r="H14" s="11" t="n">
        <v>22.9</v>
      </c>
      <c r="I14" s="12">
        <f>H14/G14</f>
        <v/>
      </c>
      <c r="J14" s="13">
        <f>H14-G14</f>
        <v/>
      </c>
      <c r="K14" s="10" t="inlineStr">
        <is>
          <t>Rb-28 / Sprawozdanie MF</t>
        </is>
      </c>
    </row>
    <row r="15">
      <c r="A15" s="5" t="n">
        <v>2022</v>
      </c>
      <c r="B15" s="5" t="inlineStr">
        <is>
          <t>Wydatki</t>
        </is>
      </c>
      <c r="C15" s="14" t="inlineStr">
        <is>
          <t>Pozostałe Wydatki</t>
        </is>
      </c>
      <c r="D15" s="5" t="inlineStr">
        <is>
          <t>Inne</t>
        </is>
      </c>
      <c r="E15" s="14" t="inlineStr">
        <is>
          <t>Kultura, Rolnictwo, Środowisko, Wymiar sprawiedliwości</t>
        </is>
      </c>
      <c r="F15" s="14" t="inlineStr">
        <is>
          <t>Różne części</t>
        </is>
      </c>
      <c r="G15" s="15" t="n">
        <v>172</v>
      </c>
      <c r="H15" s="15" t="n">
        <v>169.8</v>
      </c>
      <c r="I15" s="16">
        <f>H15/G15</f>
        <v/>
      </c>
      <c r="J15" s="17">
        <f>H15-G15</f>
        <v/>
      </c>
      <c r="K15" s="14" t="inlineStr">
        <is>
          <t>Rb-28 / Sprawozdanie MF</t>
        </is>
      </c>
    </row>
    <row r="16">
      <c r="A16" s="9" t="n">
        <v>2023</v>
      </c>
      <c r="B16" s="9" t="inlineStr">
        <is>
          <t>Dochody</t>
        </is>
      </c>
      <c r="C16" s="10" t="inlineStr">
        <is>
          <t>Podatki pośrednie (VAT/Akcyza)</t>
        </is>
      </c>
      <c r="D16" s="9" t="inlineStr">
        <is>
          <t>Podatki</t>
        </is>
      </c>
      <c r="E16" s="10" t="inlineStr">
        <is>
          <t>Podatek od towarów i usług (VAT)</t>
        </is>
      </c>
      <c r="F16" s="10" t="inlineStr">
        <is>
          <t>01 - Dochody podatkowe</t>
        </is>
      </c>
      <c r="G16" s="11" t="n">
        <v>286</v>
      </c>
      <c r="H16" s="11" t="n">
        <v>244.3</v>
      </c>
      <c r="I16" s="12">
        <f>H16/G16</f>
        <v/>
      </c>
      <c r="J16" s="13">
        <f>H16-G16</f>
        <v/>
      </c>
      <c r="K16" s="10" t="inlineStr">
        <is>
          <t>Rb-27 / Sprawozdanie MF</t>
        </is>
      </c>
    </row>
    <row r="17">
      <c r="A17" s="5" t="n">
        <v>2023</v>
      </c>
      <c r="B17" s="5" t="inlineStr">
        <is>
          <t>Dochody</t>
        </is>
      </c>
      <c r="C17" s="14" t="inlineStr">
        <is>
          <t>Podatki pośrednie (VAT/Akcyza)</t>
        </is>
      </c>
      <c r="D17" s="5" t="inlineStr">
        <is>
          <t>Podatki</t>
        </is>
      </c>
      <c r="E17" s="14" t="inlineStr">
        <is>
          <t>Podatek akcyzowy</t>
        </is>
      </c>
      <c r="F17" s="14" t="inlineStr">
        <is>
          <t>01 - Dochody podatkowe</t>
        </is>
      </c>
      <c r="G17" s="15" t="n">
        <v>88.59999999999999</v>
      </c>
      <c r="H17" s="15" t="n">
        <v>84.8</v>
      </c>
      <c r="I17" s="16">
        <f>H17/G17</f>
        <v/>
      </c>
      <c r="J17" s="17">
        <f>H17-G17</f>
        <v/>
      </c>
      <c r="K17" s="14" t="inlineStr">
        <is>
          <t>Rb-27 / Sprawozdanie MF</t>
        </is>
      </c>
    </row>
    <row r="18">
      <c r="A18" s="9" t="n">
        <v>2023</v>
      </c>
      <c r="B18" s="9" t="inlineStr">
        <is>
          <t>Dochody</t>
        </is>
      </c>
      <c r="C18" s="10" t="inlineStr">
        <is>
          <t>Podatki dochodowe (PIT/CIT)</t>
        </is>
      </c>
      <c r="D18" s="9" t="inlineStr">
        <is>
          <t>Podatki</t>
        </is>
      </c>
      <c r="E18" s="10" t="inlineStr">
        <is>
          <t>Podatek dochodowy od osób prawnych (CIT)</t>
        </is>
      </c>
      <c r="F18" s="10" t="inlineStr">
        <is>
          <t>01 - Dochody podatkowe</t>
        </is>
      </c>
      <c r="G18" s="11" t="n">
        <v>77.59999999999999</v>
      </c>
      <c r="H18" s="11" t="n">
        <v>67.90000000000001</v>
      </c>
      <c r="I18" s="12">
        <f>H18/G18</f>
        <v/>
      </c>
      <c r="J18" s="13">
        <f>H18-G18</f>
        <v/>
      </c>
      <c r="K18" s="10" t="inlineStr">
        <is>
          <t>Rb-27 / Sprawozdanie MF</t>
        </is>
      </c>
    </row>
    <row r="19">
      <c r="A19" s="5" t="n">
        <v>2023</v>
      </c>
      <c r="B19" s="5" t="inlineStr">
        <is>
          <t>Dochody</t>
        </is>
      </c>
      <c r="C19" s="14" t="inlineStr">
        <is>
          <t>Podatki dochodowe (PIT/CIT)</t>
        </is>
      </c>
      <c r="D19" s="5" t="inlineStr">
        <is>
          <t>Podatki</t>
        </is>
      </c>
      <c r="E19" s="14" t="inlineStr">
        <is>
          <t>Podatek dochodowy od osób fizycznych (PIT)</t>
        </is>
      </c>
      <c r="F19" s="14" t="inlineStr">
        <is>
          <t>01 - Dochody podatkowe</t>
        </is>
      </c>
      <c r="G19" s="15" t="n">
        <v>83.59999999999999</v>
      </c>
      <c r="H19" s="15" t="n">
        <v>91.7</v>
      </c>
      <c r="I19" s="16">
        <f>H19/G19</f>
        <v/>
      </c>
      <c r="J19" s="17">
        <f>H19-G19</f>
        <v/>
      </c>
      <c r="K19" s="14" t="inlineStr">
        <is>
          <t>Rb-27 / Sprawozdanie MF</t>
        </is>
      </c>
    </row>
    <row r="20">
      <c r="A20" s="9" t="n">
        <v>2023</v>
      </c>
      <c r="B20" s="9" t="inlineStr">
        <is>
          <t>Dochody</t>
        </is>
      </c>
      <c r="C20" s="10" t="inlineStr">
        <is>
          <t>Dochody niepodatkowe i Cła</t>
        </is>
      </c>
      <c r="D20" s="9" t="inlineStr">
        <is>
          <t>Cła/Inne</t>
        </is>
      </c>
      <c r="E20" s="10" t="inlineStr">
        <is>
          <t>Cła oraz dochody niepodatkowe i UE</t>
        </is>
      </c>
      <c r="F20" s="10" t="inlineStr">
        <is>
          <t>02 - Inne dochody</t>
        </is>
      </c>
      <c r="G20" s="11" t="n">
        <v>68</v>
      </c>
      <c r="H20" s="11" t="n">
        <v>85.3</v>
      </c>
      <c r="I20" s="12">
        <f>H20/G20</f>
        <v/>
      </c>
      <c r="J20" s="13">
        <f>H20-G20</f>
        <v/>
      </c>
      <c r="K20" s="10" t="inlineStr">
        <is>
          <t>Rb-27 / Sprawozdanie MF</t>
        </is>
      </c>
    </row>
    <row r="21">
      <c r="A21" s="5" t="n">
        <v>2023</v>
      </c>
      <c r="B21" s="5" t="inlineStr">
        <is>
          <t>Wydatki</t>
        </is>
      </c>
      <c r="C21" s="14" t="inlineStr">
        <is>
          <t>Obrona i Bezpieczeństwo</t>
        </is>
      </c>
      <c r="D21" s="5" t="inlineStr">
        <is>
          <t>752</t>
        </is>
      </c>
      <c r="E21" s="14" t="inlineStr">
        <is>
          <t>Obrona narodowa</t>
        </is>
      </c>
      <c r="F21" s="14" t="inlineStr">
        <is>
          <t>29 - Obrona narodowa</t>
        </is>
      </c>
      <c r="G21" s="15" t="n">
        <v>97.40000000000001</v>
      </c>
      <c r="H21" s="15" t="n">
        <v>96.8</v>
      </c>
      <c r="I21" s="16">
        <f>H21/G21</f>
        <v/>
      </c>
      <c r="J21" s="17">
        <f>H21-G21</f>
        <v/>
      </c>
      <c r="K21" s="14" t="inlineStr">
        <is>
          <t>Rb-28 / Sprawozdanie MF</t>
        </is>
      </c>
    </row>
    <row r="22">
      <c r="A22" s="9" t="n">
        <v>2023</v>
      </c>
      <c r="B22" s="9" t="inlineStr">
        <is>
          <t>Wydatki</t>
        </is>
      </c>
      <c r="C22" s="10" t="inlineStr">
        <is>
          <t>Obrona i Bezpieczeństwo</t>
        </is>
      </c>
      <c r="D22" s="9" t="inlineStr">
        <is>
          <t>750</t>
        </is>
      </c>
      <c r="E22" s="10" t="inlineStr">
        <is>
          <t>Administracja i Bezpieczeństwo Publiczne</t>
        </is>
      </c>
      <c r="F22" s="10" t="inlineStr">
        <is>
          <t>42 - Sprawy wewnętrzne</t>
        </is>
      </c>
      <c r="G22" s="11" t="n">
        <v>44.5</v>
      </c>
      <c r="H22" s="11" t="n">
        <v>44.1</v>
      </c>
      <c r="I22" s="12">
        <f>H22/G22</f>
        <v/>
      </c>
      <c r="J22" s="13">
        <f>H22-G22</f>
        <v/>
      </c>
      <c r="K22" s="10" t="inlineStr">
        <is>
          <t>Rb-28 / Sprawozdanie MF</t>
        </is>
      </c>
    </row>
    <row r="23">
      <c r="A23" s="5" t="n">
        <v>2023</v>
      </c>
      <c r="B23" s="5" t="inlineStr">
        <is>
          <t>Wydatki</t>
        </is>
      </c>
      <c r="C23" s="14" t="inlineStr">
        <is>
          <t>Polityka Społeczna i Rodzina</t>
        </is>
      </c>
      <c r="D23" s="5" t="inlineStr">
        <is>
          <t>855</t>
        </is>
      </c>
      <c r="E23" s="14" t="inlineStr">
        <is>
          <t>Rodzina (np. 500+, świadczenia)</t>
        </is>
      </c>
      <c r="F23" s="14" t="inlineStr">
        <is>
          <t>85 - Rodzina</t>
        </is>
      </c>
      <c r="G23" s="15" t="n">
        <v>65.09999999999999</v>
      </c>
      <c r="H23" s="15" t="n">
        <v>64.90000000000001</v>
      </c>
      <c r="I23" s="16">
        <f>H23/G23</f>
        <v/>
      </c>
      <c r="J23" s="17">
        <f>H23-G23</f>
        <v/>
      </c>
      <c r="K23" s="14" t="inlineStr">
        <is>
          <t>Rb-28 / Sprawozdanie MF</t>
        </is>
      </c>
    </row>
    <row r="24">
      <c r="A24" s="9" t="n">
        <v>2023</v>
      </c>
      <c r="B24" s="9" t="inlineStr">
        <is>
          <t>Wydatki</t>
        </is>
      </c>
      <c r="C24" s="10" t="inlineStr">
        <is>
          <t>Polityka Społeczna i Rodzina</t>
        </is>
      </c>
      <c r="D24" s="9" t="inlineStr">
        <is>
          <t>851</t>
        </is>
      </c>
      <c r="E24" s="10" t="inlineStr">
        <is>
          <t>Ochrona zdrowia (dotacja FUS/NFZ)</t>
        </is>
      </c>
      <c r="F24" s="10" t="inlineStr">
        <is>
          <t>46 - Zdrowie</t>
        </is>
      </c>
      <c r="G24" s="11" t="n">
        <v>39.8</v>
      </c>
      <c r="H24" s="11" t="n">
        <v>38.9</v>
      </c>
      <c r="I24" s="12">
        <f>H24/G24</f>
        <v/>
      </c>
      <c r="J24" s="13">
        <f>H24-G24</f>
        <v/>
      </c>
      <c r="K24" s="10" t="inlineStr">
        <is>
          <t>Rb-28 / Sprawozdanie MF</t>
        </is>
      </c>
    </row>
    <row r="25">
      <c r="A25" s="5" t="n">
        <v>2023</v>
      </c>
      <c r="B25" s="5" t="inlineStr">
        <is>
          <t>Wydatki</t>
        </is>
      </c>
      <c r="C25" s="14" t="inlineStr">
        <is>
          <t>Edukacja i Nauka</t>
        </is>
      </c>
      <c r="D25" s="5" t="inlineStr">
        <is>
          <t>801</t>
        </is>
      </c>
      <c r="E25" s="14" t="inlineStr">
        <is>
          <t>Oświata i wychowanie oraz szkolnictwo wyższe</t>
        </is>
      </c>
      <c r="F25" s="14" t="inlineStr">
        <is>
          <t>44 - Oświata / 28 - Nauka</t>
        </is>
      </c>
      <c r="G25" s="15" t="n">
        <v>40.2</v>
      </c>
      <c r="H25" s="15" t="n">
        <v>39.8</v>
      </c>
      <c r="I25" s="16">
        <f>H25/G25</f>
        <v/>
      </c>
      <c r="J25" s="17">
        <f>H25-G25</f>
        <v/>
      </c>
      <c r="K25" s="14" t="inlineStr">
        <is>
          <t>Rb-28 / Sprawozdanie MF</t>
        </is>
      </c>
    </row>
    <row r="26">
      <c r="A26" s="9" t="n">
        <v>2023</v>
      </c>
      <c r="B26" s="9" t="inlineStr">
        <is>
          <t>Wydatki</t>
        </is>
      </c>
      <c r="C26" s="10" t="inlineStr">
        <is>
          <t>Obsługa Długu Publicznego</t>
        </is>
      </c>
      <c r="D26" s="9" t="inlineStr">
        <is>
          <t>757</t>
        </is>
      </c>
      <c r="E26" s="10" t="inlineStr">
        <is>
          <t>Obsługa długu publicznego</t>
        </is>
      </c>
      <c r="F26" s="10" t="inlineStr">
        <is>
          <t>79 - Obsługa długu</t>
        </is>
      </c>
      <c r="G26" s="11" t="n">
        <v>38.5</v>
      </c>
      <c r="H26" s="11" t="n">
        <v>61.7</v>
      </c>
      <c r="I26" s="12">
        <f>H26/G26</f>
        <v/>
      </c>
      <c r="J26" s="13">
        <f>H26-G26</f>
        <v/>
      </c>
      <c r="K26" s="10" t="inlineStr">
        <is>
          <t>Rb-28 / Sprawozdanie MF</t>
        </is>
      </c>
    </row>
    <row r="27">
      <c r="A27" s="5" t="n">
        <v>2023</v>
      </c>
      <c r="B27" s="5" t="inlineStr">
        <is>
          <t>Wydatki</t>
        </is>
      </c>
      <c r="C27" s="14" t="inlineStr">
        <is>
          <t>Subwencje dla Samorządów</t>
        </is>
      </c>
      <c r="D27" s="5" t="inlineStr">
        <is>
          <t>758</t>
        </is>
      </c>
      <c r="E27" s="14" t="inlineStr">
        <is>
          <t>Różne rozliczenia (ogólna subwencja JST)</t>
        </is>
      </c>
      <c r="F27" s="14" t="inlineStr">
        <is>
          <t>82 - Subwencje JST</t>
        </is>
      </c>
      <c r="G27" s="15" t="n">
        <v>89.2</v>
      </c>
      <c r="H27" s="15" t="n">
        <v>89.2</v>
      </c>
      <c r="I27" s="16">
        <f>H27/G27</f>
        <v/>
      </c>
      <c r="J27" s="17">
        <f>H27-G27</f>
        <v/>
      </c>
      <c r="K27" s="14" t="inlineStr">
        <is>
          <t>Rb-28 / Sprawozdanie MF</t>
        </is>
      </c>
    </row>
    <row r="28">
      <c r="A28" s="9" t="n">
        <v>2023</v>
      </c>
      <c r="B28" s="9" t="inlineStr">
        <is>
          <t>Wydatki</t>
        </is>
      </c>
      <c r="C28" s="10" t="inlineStr">
        <is>
          <t>Infrastruktura i Gospodarka</t>
        </is>
      </c>
      <c r="D28" s="9" t="inlineStr">
        <is>
          <t>600</t>
        </is>
      </c>
      <c r="E28" s="10" t="inlineStr">
        <is>
          <t>Transport i łączność / Gospodarka</t>
        </is>
      </c>
      <c r="F28" s="10" t="inlineStr">
        <is>
          <t>39 - Transport</t>
        </is>
      </c>
      <c r="G28" s="11" t="n">
        <v>32.1</v>
      </c>
      <c r="H28" s="11" t="n">
        <v>31</v>
      </c>
      <c r="I28" s="12">
        <f>H28/G28</f>
        <v/>
      </c>
      <c r="J28" s="13">
        <f>H28-G28</f>
        <v/>
      </c>
      <c r="K28" s="10" t="inlineStr">
        <is>
          <t>Rb-28 / Sprawozdanie MF</t>
        </is>
      </c>
    </row>
    <row r="29">
      <c r="A29" s="5" t="n">
        <v>2023</v>
      </c>
      <c r="B29" s="5" t="inlineStr">
        <is>
          <t>Wydatki</t>
        </is>
      </c>
      <c r="C29" s="14" t="inlineStr">
        <is>
          <t>Pozostałe Wydatki</t>
        </is>
      </c>
      <c r="D29" s="5" t="inlineStr">
        <is>
          <t>Inne</t>
        </is>
      </c>
      <c r="E29" s="14" t="inlineStr">
        <is>
          <t>Kultura, Rolnictwo, Środowisko, Wymiar sprawiedliwości</t>
        </is>
      </c>
      <c r="F29" s="14" t="inlineStr">
        <is>
          <t>Różne części</t>
        </is>
      </c>
      <c r="G29" s="15" t="n">
        <v>246.6</v>
      </c>
      <c r="H29" s="15" t="n">
        <v>212.8</v>
      </c>
      <c r="I29" s="16">
        <f>H29/G29</f>
        <v/>
      </c>
      <c r="J29" s="17">
        <f>H29-G29</f>
        <v/>
      </c>
      <c r="K29" s="14" t="inlineStr">
        <is>
          <t>Rb-28 / Sprawozdanie MF</t>
        </is>
      </c>
    </row>
    <row r="30">
      <c r="A30" s="9" t="n">
        <v>2024</v>
      </c>
      <c r="B30" s="9" t="inlineStr">
        <is>
          <t>Dochody</t>
        </is>
      </c>
      <c r="C30" s="10" t="inlineStr">
        <is>
          <t>Podatki pośrednie (VAT/Akcyza)</t>
        </is>
      </c>
      <c r="D30" s="9" t="inlineStr">
        <is>
          <t>Podatki</t>
        </is>
      </c>
      <c r="E30" s="10" t="inlineStr">
        <is>
          <t>Podatek od towarów i usług (VAT)</t>
        </is>
      </c>
      <c r="F30" s="10" t="inlineStr">
        <is>
          <t>01 - Dochody podatkowe</t>
        </is>
      </c>
      <c r="G30" s="11" t="n">
        <v>316.4</v>
      </c>
      <c r="H30" s="11" t="n">
        <v>298.5</v>
      </c>
      <c r="I30" s="12">
        <f>H30/G30</f>
        <v/>
      </c>
      <c r="J30" s="13">
        <f>H30-G30</f>
        <v/>
      </c>
      <c r="K30" s="10" t="inlineStr">
        <is>
          <t>Ustawa Budżetowa / Szacunek MF</t>
        </is>
      </c>
    </row>
    <row r="31">
      <c r="A31" s="5" t="n">
        <v>2024</v>
      </c>
      <c r="B31" s="5" t="inlineStr">
        <is>
          <t>Dochody</t>
        </is>
      </c>
      <c r="C31" s="14" t="inlineStr">
        <is>
          <t>Podatki pośrednie (VAT/Akcyza)</t>
        </is>
      </c>
      <c r="D31" s="5" t="inlineStr">
        <is>
          <t>Podatki</t>
        </is>
      </c>
      <c r="E31" s="14" t="inlineStr">
        <is>
          <t>Podatek akcyzowy</t>
        </is>
      </c>
      <c r="F31" s="14" t="inlineStr">
        <is>
          <t>01 - Dochody podatkowe</t>
        </is>
      </c>
      <c r="G31" s="15" t="n">
        <v>96.59999999999999</v>
      </c>
      <c r="H31" s="15" t="n">
        <v>94.2</v>
      </c>
      <c r="I31" s="16">
        <f>H31/G31</f>
        <v/>
      </c>
      <c r="J31" s="17">
        <f>H31-G31</f>
        <v/>
      </c>
      <c r="K31" s="14" t="inlineStr">
        <is>
          <t>Ustawa Budżetowa / Szacunek MF</t>
        </is>
      </c>
    </row>
    <row r="32">
      <c r="A32" s="9" t="n">
        <v>2024</v>
      </c>
      <c r="B32" s="9" t="inlineStr">
        <is>
          <t>Dochody</t>
        </is>
      </c>
      <c r="C32" s="10" t="inlineStr">
        <is>
          <t>Podatki dochodowe (PIT/CIT)</t>
        </is>
      </c>
      <c r="D32" s="9" t="inlineStr">
        <is>
          <t>Podatki</t>
        </is>
      </c>
      <c r="E32" s="10" t="inlineStr">
        <is>
          <t>Podatek dochodowy od osób prawnych (CIT)</t>
        </is>
      </c>
      <c r="F32" s="10" t="inlineStr">
        <is>
          <t>01 - Dochody podatkowe</t>
        </is>
      </c>
      <c r="G32" s="11" t="n">
        <v>70</v>
      </c>
      <c r="H32" s="11" t="n">
        <v>62.5</v>
      </c>
      <c r="I32" s="12">
        <f>H32/G32</f>
        <v/>
      </c>
      <c r="J32" s="13">
        <f>H32-G32</f>
        <v/>
      </c>
      <c r="K32" s="10" t="inlineStr">
        <is>
          <t>Ustawa Budżetowa / Szacunek MF</t>
        </is>
      </c>
    </row>
    <row r="33">
      <c r="A33" s="5" t="n">
        <v>2024</v>
      </c>
      <c r="B33" s="5" t="inlineStr">
        <is>
          <t>Dochody</t>
        </is>
      </c>
      <c r="C33" s="14" t="inlineStr">
        <is>
          <t>Podatki dochodowe (PIT/CIT)</t>
        </is>
      </c>
      <c r="D33" s="5" t="inlineStr">
        <is>
          <t>Podatki</t>
        </is>
      </c>
      <c r="E33" s="14" t="inlineStr">
        <is>
          <t>Podatek dochodowy od osób fizycznych (PIT)</t>
        </is>
      </c>
      <c r="F33" s="14" t="inlineStr">
        <is>
          <t>01 - Dochody podatkowe</t>
        </is>
      </c>
      <c r="G33" s="15" t="n">
        <v>109.2</v>
      </c>
      <c r="H33" s="15" t="n">
        <v>108</v>
      </c>
      <c r="I33" s="16">
        <f>H33/G33</f>
        <v/>
      </c>
      <c r="J33" s="17">
        <f>H33-G33</f>
        <v/>
      </c>
      <c r="K33" s="14" t="inlineStr">
        <is>
          <t>Ustawa Budżetowa / Szacunek MF</t>
        </is>
      </c>
    </row>
    <row r="34">
      <c r="A34" s="9" t="n">
        <v>2024</v>
      </c>
      <c r="B34" s="9" t="inlineStr">
        <is>
          <t>Dochody</t>
        </is>
      </c>
      <c r="C34" s="10" t="inlineStr">
        <is>
          <t>Dochody niepodatkowe i Cła</t>
        </is>
      </c>
      <c r="D34" s="9" t="inlineStr">
        <is>
          <t>Cła/Inne</t>
        </is>
      </c>
      <c r="E34" s="10" t="inlineStr">
        <is>
          <t>Cła oraz dochody niepodatkowe i UE</t>
        </is>
      </c>
      <c r="F34" s="10" t="inlineStr">
        <is>
          <t>02 - Inne dochody</t>
        </is>
      </c>
      <c r="G34" s="11" t="n">
        <v>90.2</v>
      </c>
      <c r="H34" s="11" t="n">
        <v>88</v>
      </c>
      <c r="I34" s="12">
        <f>H34/G34</f>
        <v/>
      </c>
      <c r="J34" s="13">
        <f>H34-G34</f>
        <v/>
      </c>
      <c r="K34" s="10" t="inlineStr">
        <is>
          <t>Ustawa Budżetowa / Szacunek MF</t>
        </is>
      </c>
    </row>
    <row r="35">
      <c r="A35" s="5" t="n">
        <v>2024</v>
      </c>
      <c r="B35" s="5" t="inlineStr">
        <is>
          <t>Wydatki</t>
        </is>
      </c>
      <c r="C35" s="14" t="inlineStr">
        <is>
          <t>Obrona i Bezpieczeństwo</t>
        </is>
      </c>
      <c r="D35" s="5" t="inlineStr">
        <is>
          <t>752</t>
        </is>
      </c>
      <c r="E35" s="14" t="inlineStr">
        <is>
          <t>Obrona narodowa</t>
        </is>
      </c>
      <c r="F35" s="14" t="inlineStr">
        <is>
          <t>29 - Obrona narodowa</t>
        </is>
      </c>
      <c r="G35" s="15" t="n">
        <v>118.1</v>
      </c>
      <c r="H35" s="15" t="n">
        <v>117.5</v>
      </c>
      <c r="I35" s="16">
        <f>H35/G35</f>
        <v/>
      </c>
      <c r="J35" s="17">
        <f>H35-G35</f>
        <v/>
      </c>
      <c r="K35" s="14" t="inlineStr">
        <is>
          <t>Ustawa Budżetowa / Szacunek MF</t>
        </is>
      </c>
    </row>
    <row r="36">
      <c r="A36" s="9" t="n">
        <v>2024</v>
      </c>
      <c r="B36" s="9" t="inlineStr">
        <is>
          <t>Wydatki</t>
        </is>
      </c>
      <c r="C36" s="10" t="inlineStr">
        <is>
          <t>Obrona i Bezpieczeństwo</t>
        </is>
      </c>
      <c r="D36" s="9" t="inlineStr">
        <is>
          <t>750</t>
        </is>
      </c>
      <c r="E36" s="10" t="inlineStr">
        <is>
          <t>Administracja i Bezpieczeństwo Publiczne</t>
        </is>
      </c>
      <c r="F36" s="10" t="inlineStr">
        <is>
          <t>42 - Sprawy wewnętrzne</t>
        </is>
      </c>
      <c r="G36" s="11" t="n">
        <v>52.3</v>
      </c>
      <c r="H36" s="11" t="n">
        <v>51.8</v>
      </c>
      <c r="I36" s="12">
        <f>H36/G36</f>
        <v/>
      </c>
      <c r="J36" s="13">
        <f>H36-G36</f>
        <v/>
      </c>
      <c r="K36" s="10" t="inlineStr">
        <is>
          <t>Ustawa Budżetowa / Szacunek MF</t>
        </is>
      </c>
    </row>
    <row r="37">
      <c r="A37" s="5" t="n">
        <v>2024</v>
      </c>
      <c r="B37" s="5" t="inlineStr">
        <is>
          <t>Wydatki</t>
        </is>
      </c>
      <c r="C37" s="14" t="inlineStr">
        <is>
          <t>Polityka Społeczna i Rodzina</t>
        </is>
      </c>
      <c r="D37" s="5" t="inlineStr">
        <is>
          <t>855</t>
        </is>
      </c>
      <c r="E37" s="14" t="inlineStr">
        <is>
          <t>Rodzina (np. 800+, świadczenia)</t>
        </is>
      </c>
      <c r="F37" s="14" t="inlineStr">
        <is>
          <t>85 - Rodzina</t>
        </is>
      </c>
      <c r="G37" s="15" t="n">
        <v>78.8</v>
      </c>
      <c r="H37" s="15" t="n">
        <v>78.5</v>
      </c>
      <c r="I37" s="16">
        <f>H37/G37</f>
        <v/>
      </c>
      <c r="J37" s="17">
        <f>H37-G37</f>
        <v/>
      </c>
      <c r="K37" s="14" t="inlineStr">
        <is>
          <t>Ustawa Budżetowa / Szacunek MF</t>
        </is>
      </c>
    </row>
    <row r="38">
      <c r="A38" s="9" t="n">
        <v>2024</v>
      </c>
      <c r="B38" s="9" t="inlineStr">
        <is>
          <t>Wydatki</t>
        </is>
      </c>
      <c r="C38" s="10" t="inlineStr">
        <is>
          <t>Polityka Społeczna i Rodzina</t>
        </is>
      </c>
      <c r="D38" s="9" t="inlineStr">
        <is>
          <t>851</t>
        </is>
      </c>
      <c r="E38" s="10" t="inlineStr">
        <is>
          <t>Ochrona zdrowia (dotacja FUS/NFZ)</t>
        </is>
      </c>
      <c r="F38" s="10" t="inlineStr">
        <is>
          <t>46 - Zdrowie</t>
        </is>
      </c>
      <c r="G38" s="11" t="n">
        <v>47.3</v>
      </c>
      <c r="H38" s="11" t="n">
        <v>46.8</v>
      </c>
      <c r="I38" s="12">
        <f>H38/G38</f>
        <v/>
      </c>
      <c r="J38" s="13">
        <f>H38-G38</f>
        <v/>
      </c>
      <c r="K38" s="10" t="inlineStr">
        <is>
          <t>Ustawa Budżetowa / Szacunek MF</t>
        </is>
      </c>
    </row>
    <row r="39">
      <c r="A39" s="5" t="n">
        <v>2024</v>
      </c>
      <c r="B39" s="5" t="inlineStr">
        <is>
          <t>Wydatki</t>
        </is>
      </c>
      <c r="C39" s="14" t="inlineStr">
        <is>
          <t>Edukacja i Nauka</t>
        </is>
      </c>
      <c r="D39" s="5" t="inlineStr">
        <is>
          <t>801</t>
        </is>
      </c>
      <c r="E39" s="14" t="inlineStr">
        <is>
          <t>Oświata i wychowanie oraz szkolnictwo wyższe</t>
        </is>
      </c>
      <c r="F39" s="14" t="inlineStr">
        <is>
          <t>44 - Oświata / 28 - Nauka</t>
        </is>
      </c>
      <c r="G39" s="15" t="n">
        <v>51.5</v>
      </c>
      <c r="H39" s="15" t="n">
        <v>51</v>
      </c>
      <c r="I39" s="16">
        <f>H39/G39</f>
        <v/>
      </c>
      <c r="J39" s="17">
        <f>H39-G39</f>
        <v/>
      </c>
      <c r="K39" s="14" t="inlineStr">
        <is>
          <t>Ustawa Budżetowa / Szacunek MF</t>
        </is>
      </c>
    </row>
    <row r="40">
      <c r="A40" s="9" t="n">
        <v>2024</v>
      </c>
      <c r="B40" s="9" t="inlineStr">
        <is>
          <t>Wydatki</t>
        </is>
      </c>
      <c r="C40" s="10" t="inlineStr">
        <is>
          <t>Obsługa Długu Publicznego</t>
        </is>
      </c>
      <c r="D40" s="9" t="inlineStr">
        <is>
          <t>757</t>
        </is>
      </c>
      <c r="E40" s="10" t="inlineStr">
        <is>
          <t>Obsługa długu publicznego</t>
        </is>
      </c>
      <c r="F40" s="10" t="inlineStr">
        <is>
          <t>79 - Obsługa długu</t>
        </is>
      </c>
      <c r="G40" s="11" t="n">
        <v>66.5</v>
      </c>
      <c r="H40" s="11" t="n">
        <v>66</v>
      </c>
      <c r="I40" s="12">
        <f>H40/G40</f>
        <v/>
      </c>
      <c r="J40" s="13">
        <f>H40-G40</f>
        <v/>
      </c>
      <c r="K40" s="10" t="inlineStr">
        <is>
          <t>Ustawa Budżetowa / Szacunek MF</t>
        </is>
      </c>
    </row>
    <row r="41">
      <c r="A41" s="5" t="n">
        <v>2024</v>
      </c>
      <c r="B41" s="5" t="inlineStr">
        <is>
          <t>Wydatki</t>
        </is>
      </c>
      <c r="C41" s="14" t="inlineStr">
        <is>
          <t>Subwencje dla Samorządów</t>
        </is>
      </c>
      <c r="D41" s="5" t="inlineStr">
        <is>
          <t>758</t>
        </is>
      </c>
      <c r="E41" s="14" t="inlineStr">
        <is>
          <t>Różne rozliczenia (ogólna subwencja JST)</t>
        </is>
      </c>
      <c r="F41" s="14" t="inlineStr">
        <is>
          <t>82 - Subwencje JST</t>
        </is>
      </c>
      <c r="G41" s="15" t="n">
        <v>117.9</v>
      </c>
      <c r="H41" s="15" t="n">
        <v>117.9</v>
      </c>
      <c r="I41" s="16">
        <f>H41/G41</f>
        <v/>
      </c>
      <c r="J41" s="17">
        <f>H41-G41</f>
        <v/>
      </c>
      <c r="K41" s="14" t="inlineStr">
        <is>
          <t>Ustawa Budżetowa / Szacunek MF</t>
        </is>
      </c>
    </row>
    <row r="42">
      <c r="A42" s="9" t="n">
        <v>2024</v>
      </c>
      <c r="B42" s="9" t="inlineStr">
        <is>
          <t>Wydatki</t>
        </is>
      </c>
      <c r="C42" s="10" t="inlineStr">
        <is>
          <t>Infrastruktura i Gospodarka</t>
        </is>
      </c>
      <c r="D42" s="9" t="inlineStr">
        <is>
          <t>600</t>
        </is>
      </c>
      <c r="E42" s="10" t="inlineStr">
        <is>
          <t>Transport i łączność / Gospodarka</t>
        </is>
      </c>
      <c r="F42" s="10" t="inlineStr">
        <is>
          <t>39 - Transport</t>
        </is>
      </c>
      <c r="G42" s="11" t="n">
        <v>39.4</v>
      </c>
      <c r="H42" s="11" t="n">
        <v>38.5</v>
      </c>
      <c r="I42" s="12">
        <f>H42/G42</f>
        <v/>
      </c>
      <c r="J42" s="13">
        <f>H42-G42</f>
        <v/>
      </c>
      <c r="K42" s="10" t="inlineStr">
        <is>
          <t>Ustawa Budżetowa / Szacunek MF</t>
        </is>
      </c>
    </row>
    <row r="43">
      <c r="A43" s="5" t="n">
        <v>2024</v>
      </c>
      <c r="B43" s="5" t="inlineStr">
        <is>
          <t>Wydatki</t>
        </is>
      </c>
      <c r="C43" s="14" t="inlineStr">
        <is>
          <t>Pozostałe Wydatki</t>
        </is>
      </c>
      <c r="D43" s="5" t="inlineStr">
        <is>
          <t>Inne</t>
        </is>
      </c>
      <c r="E43" s="14" t="inlineStr">
        <is>
          <t>Kultura, Rolnictwo, Środowisko, Wymiar sprawiedliwości</t>
        </is>
      </c>
      <c r="F43" s="14" t="inlineStr">
        <is>
          <t>Różne części</t>
        </is>
      </c>
      <c r="G43" s="15" t="n">
        <v>294.6</v>
      </c>
      <c r="H43" s="15" t="n">
        <v>283</v>
      </c>
      <c r="I43" s="16">
        <f>H43/G43</f>
        <v/>
      </c>
      <c r="J43" s="17">
        <f>H43-G43</f>
        <v/>
      </c>
      <c r="K43" s="14" t="inlineStr">
        <is>
          <t>Ustawa Budżetowa / Szacunek MF</t>
        </is>
      </c>
    </row>
    <row r="44">
      <c r="A44" s="9" t="n">
        <v>2025</v>
      </c>
      <c r="B44" s="9" t="inlineStr">
        <is>
          <t>Dochody</t>
        </is>
      </c>
      <c r="C44" s="10" t="inlineStr">
        <is>
          <t>Podatki pośrednie (VAT/Akcyza)</t>
        </is>
      </c>
      <c r="D44" s="9" t="inlineStr">
        <is>
          <t>Podatki</t>
        </is>
      </c>
      <c r="E44" s="10" t="inlineStr">
        <is>
          <t>Podatek od towarów i usług (VAT)</t>
        </is>
      </c>
      <c r="F44" s="10" t="inlineStr">
        <is>
          <t>01 - Dochody podatkowe</t>
        </is>
      </c>
      <c r="G44" s="11" t="n">
        <v>342.1</v>
      </c>
      <c r="H44" s="11" t="n">
        <v>338</v>
      </c>
      <c r="I44" s="12">
        <f>H44/G44</f>
        <v/>
      </c>
      <c r="J44" s="13">
        <f>H44-G44</f>
        <v/>
      </c>
      <c r="K44" s="10" t="inlineStr">
        <is>
          <t>Projekt Ustawy Budżetowej 2025</t>
        </is>
      </c>
    </row>
    <row r="45">
      <c r="A45" s="5" t="n">
        <v>2025</v>
      </c>
      <c r="B45" s="5" t="inlineStr">
        <is>
          <t>Dochody</t>
        </is>
      </c>
      <c r="C45" s="14" t="inlineStr">
        <is>
          <t>Podatki pośrednie (VAT/Akcyza)</t>
        </is>
      </c>
      <c r="D45" s="5" t="inlineStr">
        <is>
          <t>Podatki</t>
        </is>
      </c>
      <c r="E45" s="14" t="inlineStr">
        <is>
          <t>Podatek akcyzowy</t>
        </is>
      </c>
      <c r="F45" s="14" t="inlineStr">
        <is>
          <t>01 - Dochody podatkowe</t>
        </is>
      </c>
      <c r="G45" s="15" t="n">
        <v>103.1</v>
      </c>
      <c r="H45" s="15" t="n">
        <v>102.5</v>
      </c>
      <c r="I45" s="16">
        <f>H45/G45</f>
        <v/>
      </c>
      <c r="J45" s="17">
        <f>H45-G45</f>
        <v/>
      </c>
      <c r="K45" s="14" t="inlineStr">
        <is>
          <t>Projekt Ustawy Budżetowej 2025</t>
        </is>
      </c>
    </row>
    <row r="46">
      <c r="A46" s="9" t="n">
        <v>2025</v>
      </c>
      <c r="B46" s="9" t="inlineStr">
        <is>
          <t>Dochody</t>
        </is>
      </c>
      <c r="C46" s="10" t="inlineStr">
        <is>
          <t>Podatki dochodowe (PIT/CIT)</t>
        </is>
      </c>
      <c r="D46" s="9" t="inlineStr">
        <is>
          <t>Podatki</t>
        </is>
      </c>
      <c r="E46" s="10" t="inlineStr">
        <is>
          <t>Podatek dochodowy od osób prawnych (CIT)</t>
        </is>
      </c>
      <c r="F46" s="10" t="inlineStr">
        <is>
          <t>01 - Dochody podatkowe</t>
        </is>
      </c>
      <c r="G46" s="11" t="n">
        <v>74.59999999999999</v>
      </c>
      <c r="H46" s="11" t="n">
        <v>73</v>
      </c>
      <c r="I46" s="12">
        <f>H46/G46</f>
        <v/>
      </c>
      <c r="J46" s="13">
        <f>H46-G46</f>
        <v/>
      </c>
      <c r="K46" s="10" t="inlineStr">
        <is>
          <t>Projekt Ustawy Budżetowej 2025</t>
        </is>
      </c>
    </row>
    <row r="47">
      <c r="A47" s="5" t="n">
        <v>2025</v>
      </c>
      <c r="B47" s="5" t="inlineStr">
        <is>
          <t>Dochody</t>
        </is>
      </c>
      <c r="C47" s="14" t="inlineStr">
        <is>
          <t>Podatki dochodowe (PIT/CIT)</t>
        </is>
      </c>
      <c r="D47" s="5" t="inlineStr">
        <is>
          <t>Podatki</t>
        </is>
      </c>
      <c r="E47" s="14" t="inlineStr">
        <is>
          <t>Podatek dochodowy od osób fizycznych (PIT)</t>
        </is>
      </c>
      <c r="F47" s="14" t="inlineStr">
        <is>
          <t>01 - Dochody podatkowe</t>
        </is>
      </c>
      <c r="G47" s="15" t="n">
        <v>121.2</v>
      </c>
      <c r="H47" s="15" t="n">
        <v>120</v>
      </c>
      <c r="I47" s="16">
        <f>H47/G47</f>
        <v/>
      </c>
      <c r="J47" s="17">
        <f>H47-G47</f>
        <v/>
      </c>
      <c r="K47" s="14" t="inlineStr">
        <is>
          <t>Projekt Ustawy Budżetowej 2025</t>
        </is>
      </c>
    </row>
    <row r="48">
      <c r="A48" s="9" t="n">
        <v>2025</v>
      </c>
      <c r="B48" s="9" t="inlineStr">
        <is>
          <t>Dochody</t>
        </is>
      </c>
      <c r="C48" s="10" t="inlineStr">
        <is>
          <t>Dochody niepodatkowe i Cła</t>
        </is>
      </c>
      <c r="D48" s="9" t="inlineStr">
        <is>
          <t>Cła/Inne</t>
        </is>
      </c>
      <c r="E48" s="10" t="inlineStr">
        <is>
          <t>Cła oraz dochody niepodatkowe i UE</t>
        </is>
      </c>
      <c r="F48" s="10" t="inlineStr">
        <is>
          <t>02 - Inne dochody</t>
        </is>
      </c>
      <c r="G48" s="11" t="n">
        <v>91.5</v>
      </c>
      <c r="H48" s="11" t="n">
        <v>90</v>
      </c>
      <c r="I48" s="12">
        <f>H48/G48</f>
        <v/>
      </c>
      <c r="J48" s="13">
        <f>H48-G48</f>
        <v/>
      </c>
      <c r="K48" s="10" t="inlineStr">
        <is>
          <t>Projekt Ustawy Budżetowej 2025</t>
        </is>
      </c>
    </row>
    <row r="49">
      <c r="A49" s="5" t="n">
        <v>2025</v>
      </c>
      <c r="B49" s="5" t="inlineStr">
        <is>
          <t>Wydatki</t>
        </is>
      </c>
      <c r="C49" s="14" t="inlineStr">
        <is>
          <t>Obrona i Bezpieczeństwo</t>
        </is>
      </c>
      <c r="D49" s="5" t="inlineStr">
        <is>
          <t>752</t>
        </is>
      </c>
      <c r="E49" s="14" t="inlineStr">
        <is>
          <t>Obrona narodowa</t>
        </is>
      </c>
      <c r="F49" s="14" t="inlineStr">
        <is>
          <t>29 - Obrona narodowa</t>
        </is>
      </c>
      <c r="G49" s="15" t="n">
        <v>124.3</v>
      </c>
      <c r="H49" s="15" t="n">
        <v>123.8</v>
      </c>
      <c r="I49" s="16">
        <f>H49/G49</f>
        <v/>
      </c>
      <c r="J49" s="17">
        <f>H49-G49</f>
        <v/>
      </c>
      <c r="K49" s="14" t="inlineStr">
        <is>
          <t>Projekt Ustawy Budżetowej 2025</t>
        </is>
      </c>
    </row>
    <row r="50">
      <c r="A50" s="9" t="n">
        <v>2025</v>
      </c>
      <c r="B50" s="9" t="inlineStr">
        <is>
          <t>Wydatki</t>
        </is>
      </c>
      <c r="C50" s="10" t="inlineStr">
        <is>
          <t>Obrona i Bezpieczeństwo</t>
        </is>
      </c>
      <c r="D50" s="9" t="inlineStr">
        <is>
          <t>750</t>
        </is>
      </c>
      <c r="E50" s="10" t="inlineStr">
        <is>
          <t>Administracja i Bezpieczeństwo Publiczne</t>
        </is>
      </c>
      <c r="F50" s="10" t="inlineStr">
        <is>
          <t>42 - Sprawy wewnętrzne</t>
        </is>
      </c>
      <c r="G50" s="11" t="n">
        <v>56.4</v>
      </c>
      <c r="H50" s="11" t="n">
        <v>56</v>
      </c>
      <c r="I50" s="12">
        <f>H50/G50</f>
        <v/>
      </c>
      <c r="J50" s="13">
        <f>H50-G50</f>
        <v/>
      </c>
      <c r="K50" s="10" t="inlineStr">
        <is>
          <t>Projekt Ustawy Budżetowej 2025</t>
        </is>
      </c>
    </row>
    <row r="51">
      <c r="A51" s="5" t="n">
        <v>2025</v>
      </c>
      <c r="B51" s="5" t="inlineStr">
        <is>
          <t>Wydatki</t>
        </is>
      </c>
      <c r="C51" s="14" t="inlineStr">
        <is>
          <t>Polityka Społeczna i Rodzina</t>
        </is>
      </c>
      <c r="D51" s="5" t="inlineStr">
        <is>
          <t>855</t>
        </is>
      </c>
      <c r="E51" s="14" t="inlineStr">
        <is>
          <t>Rodzina (np. 800+, świadczenia)</t>
        </is>
      </c>
      <c r="F51" s="14" t="inlineStr">
        <is>
          <t>85 - Rodzina</t>
        </is>
      </c>
      <c r="G51" s="15" t="n">
        <v>81.2</v>
      </c>
      <c r="H51" s="15" t="n">
        <v>81</v>
      </c>
      <c r="I51" s="16">
        <f>H51/G51</f>
        <v/>
      </c>
      <c r="J51" s="17">
        <f>H51-G51</f>
        <v/>
      </c>
      <c r="K51" s="14" t="inlineStr">
        <is>
          <t>Projekt Ustawy Budżetowej 2025</t>
        </is>
      </c>
    </row>
    <row r="52">
      <c r="A52" s="9" t="n">
        <v>2025</v>
      </c>
      <c r="B52" s="9" t="inlineStr">
        <is>
          <t>Wydatki</t>
        </is>
      </c>
      <c r="C52" s="10" t="inlineStr">
        <is>
          <t>Polityka Społeczna i Rodzina</t>
        </is>
      </c>
      <c r="D52" s="9" t="inlineStr">
        <is>
          <t>851</t>
        </is>
      </c>
      <c r="E52" s="10" t="inlineStr">
        <is>
          <t>Ochrona zdrowia (dotacja FUS/NFZ)</t>
        </is>
      </c>
      <c r="F52" s="10" t="inlineStr">
        <is>
          <t>46 - Zdrowie</t>
        </is>
      </c>
      <c r="G52" s="11" t="n">
        <v>51</v>
      </c>
      <c r="H52" s="11" t="n">
        <v>50.5</v>
      </c>
      <c r="I52" s="12">
        <f>H52/G52</f>
        <v/>
      </c>
      <c r="J52" s="13">
        <f>H52-G52</f>
        <v/>
      </c>
      <c r="K52" s="10" t="inlineStr">
        <is>
          <t>Projekt Ustawy Budżetowej 2025</t>
        </is>
      </c>
    </row>
    <row r="53">
      <c r="A53" s="5" t="n">
        <v>2025</v>
      </c>
      <c r="B53" s="5" t="inlineStr">
        <is>
          <t>Wydatki</t>
        </is>
      </c>
      <c r="C53" s="14" t="inlineStr">
        <is>
          <t>Edukacja i Nauka</t>
        </is>
      </c>
      <c r="D53" s="5" t="inlineStr">
        <is>
          <t>801</t>
        </is>
      </c>
      <c r="E53" s="14" t="inlineStr">
        <is>
          <t>Oświata i wychowanie oraz szkolnictwo wyższe</t>
        </is>
      </c>
      <c r="F53" s="14" t="inlineStr">
        <is>
          <t>44 - Oświata / 28 - Nauka</t>
        </is>
      </c>
      <c r="G53" s="15" t="n">
        <v>54.8</v>
      </c>
      <c r="H53" s="15" t="n">
        <v>54.2</v>
      </c>
      <c r="I53" s="16">
        <f>H53/G53</f>
        <v/>
      </c>
      <c r="J53" s="17">
        <f>H53-G53</f>
        <v/>
      </c>
      <c r="K53" s="14" t="inlineStr">
        <is>
          <t>Projekt Ustawy Budżetowej 2025</t>
        </is>
      </c>
    </row>
    <row r="54">
      <c r="A54" s="9" t="n">
        <v>2025</v>
      </c>
      <c r="B54" s="9" t="inlineStr">
        <is>
          <t>Wydatki</t>
        </is>
      </c>
      <c r="C54" s="10" t="inlineStr">
        <is>
          <t>Obsługa Długu Publicznego</t>
        </is>
      </c>
      <c r="D54" s="9" t="inlineStr">
        <is>
          <t>757</t>
        </is>
      </c>
      <c r="E54" s="10" t="inlineStr">
        <is>
          <t>Obsługa długu publicznego</t>
        </is>
      </c>
      <c r="F54" s="10" t="inlineStr">
        <is>
          <t>79 - Obsługa długu</t>
        </is>
      </c>
      <c r="G54" s="11" t="n">
        <v>75</v>
      </c>
      <c r="H54" s="11" t="n">
        <v>74.5</v>
      </c>
      <c r="I54" s="12">
        <f>H54/G54</f>
        <v/>
      </c>
      <c r="J54" s="13">
        <f>H54-G54</f>
        <v/>
      </c>
      <c r="K54" s="10" t="inlineStr">
        <is>
          <t>Projekt Ustawy Budżetowej 2025</t>
        </is>
      </c>
    </row>
    <row r="55">
      <c r="A55" s="5" t="n">
        <v>2025</v>
      </c>
      <c r="B55" s="5" t="inlineStr">
        <is>
          <t>Wydatki</t>
        </is>
      </c>
      <c r="C55" s="14" t="inlineStr">
        <is>
          <t>Subwencje dla Samorządów</t>
        </is>
      </c>
      <c r="D55" s="5" t="inlineStr">
        <is>
          <t>758</t>
        </is>
      </c>
      <c r="E55" s="14" t="inlineStr">
        <is>
          <t>Różne rozliczenia (ogólna subwencja JST)</t>
        </is>
      </c>
      <c r="F55" s="14" t="inlineStr">
        <is>
          <t>82 - Subwencje JST</t>
        </is>
      </c>
      <c r="G55" s="15" t="n">
        <v>124.5</v>
      </c>
      <c r="H55" s="15" t="n">
        <v>124.5</v>
      </c>
      <c r="I55" s="16">
        <f>H55/G55</f>
        <v/>
      </c>
      <c r="J55" s="17">
        <f>H55-G55</f>
        <v/>
      </c>
      <c r="K55" s="14" t="inlineStr">
        <is>
          <t>Projekt Ustawy Budżetowej 2025</t>
        </is>
      </c>
    </row>
    <row r="56">
      <c r="A56" s="9" t="n">
        <v>2025</v>
      </c>
      <c r="B56" s="9" t="inlineStr">
        <is>
          <t>Wydatki</t>
        </is>
      </c>
      <c r="C56" s="10" t="inlineStr">
        <is>
          <t>Infrastruktura i Gospodarka</t>
        </is>
      </c>
      <c r="D56" s="9" t="inlineStr">
        <is>
          <t>600</t>
        </is>
      </c>
      <c r="E56" s="10" t="inlineStr">
        <is>
          <t>Transport i łączność / Gospodarka</t>
        </is>
      </c>
      <c r="F56" s="10" t="inlineStr">
        <is>
          <t>39 - Transport</t>
        </is>
      </c>
      <c r="G56" s="11" t="n">
        <v>43</v>
      </c>
      <c r="H56" s="11" t="n">
        <v>42.1</v>
      </c>
      <c r="I56" s="12">
        <f>H56/G56</f>
        <v/>
      </c>
      <c r="J56" s="13">
        <f>H56-G56</f>
        <v/>
      </c>
      <c r="K56" s="10" t="inlineStr">
        <is>
          <t>Projekt Ustawy Budżetowej 2025</t>
        </is>
      </c>
    </row>
    <row r="57">
      <c r="A57" s="5" t="n">
        <v>2025</v>
      </c>
      <c r="B57" s="5" t="inlineStr">
        <is>
          <t>Wydatki</t>
        </is>
      </c>
      <c r="C57" s="14" t="inlineStr">
        <is>
          <t>Pozostałe Wydatki</t>
        </is>
      </c>
      <c r="D57" s="5" t="inlineStr">
        <is>
          <t>Inne</t>
        </is>
      </c>
      <c r="E57" s="14" t="inlineStr">
        <is>
          <t>Kultura, Rolnictwo, Środowisko, Wymiar sprawiedliwości</t>
        </is>
      </c>
      <c r="F57" s="14" t="inlineStr">
        <is>
          <t>Różne części</t>
        </is>
      </c>
      <c r="G57" s="15" t="n">
        <v>311.3</v>
      </c>
      <c r="H57" s="15" t="n">
        <v>305</v>
      </c>
      <c r="I57" s="16">
        <f>H57/G57</f>
        <v/>
      </c>
      <c r="J57" s="17">
        <f>H57-G57</f>
        <v/>
      </c>
      <c r="K57" s="14" t="inlineStr">
        <is>
          <t>Projekt Ustawy Budżetowej 2025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9" customWidth="1" min="2" max="2"/>
    <col width="64" customWidth="1" min="3" max="3"/>
    <col width="38" customWidth="1" min="4" max="4"/>
    <col width="100" customWidth="1" min="5" max="5"/>
    <col width="87" customWidth="1" min="6" max="6"/>
  </cols>
  <sheetData>
    <row r="1"/>
    <row r="2">
      <c r="B2" s="1" t="inlineStr">
        <is>
          <t>SŁOWNIK SPRAWOZDAŃ I STRUKTURA DANYCH BUDŻETOWYCH</t>
        </is>
      </c>
    </row>
    <row r="3"/>
    <row r="4">
      <c r="B4" s="18" t="inlineStr">
        <is>
          <t>1. Oficjalne Raporty i Sprawozdania Finansowe</t>
        </is>
      </c>
    </row>
    <row r="5">
      <c r="B5" s="19" t="inlineStr">
        <is>
          <t>Symbol Raportu</t>
        </is>
      </c>
      <c r="C5" s="19" t="inlineStr">
        <is>
          <t>Pełna Nazwa Sprawozdania</t>
        </is>
      </c>
      <c r="D5" s="19" t="inlineStr">
        <is>
          <t>Częstotliwość</t>
        </is>
      </c>
      <c r="E5" s="19" t="inlineStr">
        <is>
          <t>Zakres Danych</t>
        </is>
      </c>
      <c r="F5" s="19" t="inlineStr">
        <is>
          <t>Główny Użytkownik / Zastosowanie w Aplikacji</t>
        </is>
      </c>
    </row>
    <row r="6">
      <c r="B6" s="5" t="inlineStr">
        <is>
          <t>Rb-27</t>
        </is>
      </c>
      <c r="C6" s="20" t="inlineStr">
        <is>
          <t>Sprawozdanie z wykonania planu dochodów budżetowych</t>
        </is>
      </c>
      <c r="D6" s="5" t="inlineStr">
        <is>
          <t>Miesięczna / Roczna</t>
        </is>
      </c>
      <c r="E6" s="20" t="inlineStr">
        <is>
          <t>Należności, dochody wykonane, zaległości, skutki ulg i zwolnień wg działów/rozdziałów/paragrafów</t>
        </is>
      </c>
      <c r="F6" s="20" t="inlineStr">
        <is>
          <t>Analiza źródeł dochodów państwa (VAT, PIT, CIT, Akcyza, Cła)</t>
        </is>
      </c>
    </row>
    <row r="7">
      <c r="B7" s="5" t="inlineStr">
        <is>
          <t>Rb-28</t>
        </is>
      </c>
      <c r="C7" s="20" t="inlineStr">
        <is>
          <t>Sprawozdanie z wykonania planu wydatków budżetowych</t>
        </is>
      </c>
      <c r="D7" s="5" t="inlineStr">
        <is>
          <t>Miesięczna / Roczna</t>
        </is>
      </c>
      <c r="E7" s="20" t="inlineStr">
        <is>
          <t>Plan po zmianach, zaangażowanie, wydatki wykonane, zobowiązania ogółem i wymagalne</t>
        </is>
      </c>
      <c r="F7" s="20" t="inlineStr">
        <is>
          <t>Analiza struktury wydatków państwa wg resortów (części) i działów</t>
        </is>
      </c>
    </row>
    <row r="8">
      <c r="B8" s="5" t="inlineStr">
        <is>
          <t>Rb-NDS</t>
        </is>
      </c>
      <c r="C8" s="20" t="inlineStr">
        <is>
          <t>Sprawozdanie o nadwyżce / deficycie</t>
        </is>
      </c>
      <c r="D8" s="5" t="inlineStr">
        <is>
          <t>Kwartalna / Roczna</t>
        </is>
      </c>
      <c r="E8" s="20" t="inlineStr">
        <is>
          <t>Łączne dochody, wydatki, deficyt/nadwyżka oraz źródła finansowania deficytu</t>
        </is>
      </c>
      <c r="F8" s="20" t="inlineStr">
        <is>
          <t>Główny widok dashboardu – bilans budżetowy i wskaźniki makro</t>
        </is>
      </c>
    </row>
    <row r="9">
      <c r="B9" s="5" t="inlineStr">
        <is>
          <t>Rb-Z</t>
        </is>
      </c>
      <c r="C9" s="20" t="inlineStr">
        <is>
          <t>Sprawozdanie o stanie zobowiązań wg tytułów dłużnych</t>
        </is>
      </c>
      <c r="D9" s="5" t="inlineStr">
        <is>
          <t>Kwartalna</t>
        </is>
      </c>
      <c r="E9" s="20" t="inlineStr">
        <is>
          <t>Zobowiązania z tytułu papierów wartościowych, kredytów, pożyczek, przyjętych depozytów</t>
        </is>
      </c>
      <c r="F9" s="20" t="inlineStr">
        <is>
          <t>Analiza Państwowego Długu Publicznego (PDP) oraz długu sektora instytucji rządowych</t>
        </is>
      </c>
    </row>
    <row r="10">
      <c r="B10" s="5" t="inlineStr">
        <is>
          <t>Ustawa Budżetowa</t>
        </is>
      </c>
      <c r="C10" s="20" t="inlineStr">
        <is>
          <t>Ustawa Budżetowa na dany rok budżetowy (Załączniki nr 1 i 2)</t>
        </is>
      </c>
      <c r="D10" s="5" t="inlineStr">
        <is>
          <t>Roczna (uchwalana w IV kw.)</t>
        </is>
      </c>
      <c r="E10" s="20" t="inlineStr">
        <is>
          <t>Pierwotny plan dochodów i wydatków państwa w układzie tradycyjnym i zadaniowym</t>
        </is>
      </c>
      <c r="F10" s="20" t="inlineStr">
        <is>
          <t>Podstawa do wyznaczenia punktu odniesienia (Plan) do wykonania budżetu</t>
        </is>
      </c>
    </row>
    <row r="11">
      <c r="B11" s="5" t="inlineStr">
        <is>
          <t>Sprawozdanie RM</t>
        </is>
      </c>
      <c r="C11" s="20" t="inlineStr">
        <is>
          <t>Sprawozdanie Rady Ministrów z wykonania budżetu państwa</t>
        </is>
      </c>
      <c r="D11" s="5" t="inlineStr">
        <is>
          <t>Roczna (do 31 maja kolejnego roku)</t>
        </is>
      </c>
      <c r="E11" s="20" t="inlineStr">
        <is>
          <t>Kompleksowe sprawozdanie z wykonania budżetu centralnego, środków UE i układu zadaniowego</t>
        </is>
      </c>
      <c r="F11" s="20" t="inlineStr">
        <is>
          <t>Weryfikacja ostatecznych danych rocznych po audycie NIK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2026-09-28T08:19:32Z</dcterms:created>
  <dcterms:modified xmlns:dcterms="http://purl.org/dc/terms/" xmlns:xsi="http://www.w3.org/2001/XMLSchema-instance" xsi:type="dcterms:W3CDTF">2026-09-28T08:19:32Z</dcterms:modified>
</cp:coreProperties>
</file>